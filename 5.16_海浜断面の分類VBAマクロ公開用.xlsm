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filterPrivacy="1" codeName="ThisWorkbook"/>
  <xr:revisionPtr revIDLastSave="0" documentId="13_ncr:1_{6FB939BA-3F3F-417C-9534-2A322B2CD75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汀線の前進・後退" sheetId="3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2" i="3" l="1"/>
  <c r="G32" i="3"/>
  <c r="F33" i="3" a="1"/>
  <c r="D33" i="3" a="1"/>
  <c r="E27" i="3" a="1"/>
  <c r="E33" i="3" a="1"/>
  <c r="H33" i="3" a="1"/>
  <c r="G33" i="3" a="1"/>
  <c r="E35" i="3" a="1"/>
  <c r="E20" i="3" a="1"/>
  <c r="G33" i="3" l="1"/>
  <c r="H33" i="3"/>
  <c r="E33" i="3"/>
  <c r="F33" i="3"/>
  <c r="D33" i="3"/>
  <c r="E35" i="3"/>
  <c r="E27" i="3"/>
  <c r="E20" i="3"/>
  <c r="E10" i="3" l="1"/>
  <c r="E11" i="3" s="1"/>
  <c r="E25" i="3" a="1"/>
  <c r="G25" i="3" a="1"/>
  <c r="D25" i="3" a="1"/>
  <c r="H18" i="3" a="1"/>
  <c r="G18" i="3" a="1"/>
  <c r="E7" i="3" a="1"/>
  <c r="F18" i="3" a="1"/>
  <c r="F25" i="3" a="1"/>
  <c r="D18" i="3" a="1"/>
  <c r="E18" i="3" a="1"/>
  <c r="H25" i="3" a="1"/>
  <c r="E7" i="3" l="1"/>
  <c r="G25" i="3"/>
  <c r="H25" i="3"/>
  <c r="E25" i="3"/>
  <c r="F25" i="3"/>
  <c r="D25" i="3"/>
  <c r="H18" i="3"/>
  <c r="G18" i="3"/>
  <c r="F18" i="3"/>
  <c r="E18" i="3"/>
  <c r="D18" i="3"/>
  <c r="D7" i="3"/>
  <c r="E12" i="3"/>
  <c r="E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<sst xmlns="http://schemas.openxmlformats.org/spreadsheetml/2006/main" count="99" uniqueCount="89">
  <si>
    <t>沖波波高</t>
    <rPh sb="0" eb="2">
      <t>オキナミ</t>
    </rPh>
    <rPh sb="2" eb="4">
      <t>ハコウ</t>
    </rPh>
    <phoneticPr fontId="5"/>
  </si>
  <si>
    <t>沖波周期</t>
    <rPh sb="0" eb="2">
      <t>オキナミ</t>
    </rPh>
    <rPh sb="2" eb="4">
      <t>シュウキ</t>
    </rPh>
    <phoneticPr fontId="5"/>
  </si>
  <si>
    <t>底質粒径</t>
    <rPh sb="0" eb="2">
      <t>テイシツ</t>
    </rPh>
    <rPh sb="2" eb="4">
      <t>リュウケイ</t>
    </rPh>
    <phoneticPr fontId="5"/>
  </si>
  <si>
    <t>T</t>
    <phoneticPr fontId="5"/>
  </si>
  <si>
    <t>mm</t>
    <phoneticPr fontId="4"/>
  </si>
  <si>
    <t>s</t>
    <phoneticPr fontId="4"/>
  </si>
  <si>
    <t>m</t>
    <phoneticPr fontId="4"/>
  </si>
  <si>
    <t>単位</t>
    <rPh sb="0" eb="2">
      <t>タンイ</t>
    </rPh>
    <phoneticPr fontId="4"/>
  </si>
  <si>
    <t>項目</t>
    <rPh sb="0" eb="2">
      <t>コウモク</t>
    </rPh>
    <phoneticPr fontId="4"/>
  </si>
  <si>
    <t>記号</t>
    <rPh sb="0" eb="2">
      <t>キゴウ</t>
    </rPh>
    <phoneticPr fontId="4"/>
  </si>
  <si>
    <t>入力値</t>
    <rPh sb="0" eb="2">
      <t>ニュウリョク</t>
    </rPh>
    <rPh sb="2" eb="3">
      <t>チ</t>
    </rPh>
    <phoneticPr fontId="4"/>
  </si>
  <si>
    <t>海底勾配</t>
    <rPh sb="0" eb="2">
      <t>カイテイ</t>
    </rPh>
    <rPh sb="2" eb="4">
      <t>コウバイ</t>
    </rPh>
    <phoneticPr fontId="4"/>
  </si>
  <si>
    <t>tanβ</t>
    <phoneticPr fontId="4"/>
  </si>
  <si>
    <t>沖波波長</t>
    <rPh sb="0" eb="2">
      <t>オキナミ</t>
    </rPh>
    <rPh sb="2" eb="4">
      <t>ハチョウ</t>
    </rPh>
    <phoneticPr fontId="4"/>
  </si>
  <si>
    <r>
      <t>L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r>
      <rPr>
        <sz val="11"/>
        <color theme="1"/>
        <rFont val="Yu Gothic"/>
        <family val="2"/>
        <scheme val="minor"/>
      </rPr>
      <t xml:space="preserve"> </t>
    </r>
    <phoneticPr fontId="4"/>
  </si>
  <si>
    <t>m</t>
    <phoneticPr fontId="4"/>
  </si>
  <si>
    <t>沖波波形勾配</t>
    <rPh sb="0" eb="2">
      <t>オキナミ</t>
    </rPh>
    <rPh sb="2" eb="4">
      <t>ハケイ</t>
    </rPh>
    <rPh sb="4" eb="6">
      <t>コウバイ</t>
    </rPh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</si>
  <si>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r>
      <rPr>
        <sz val="11"/>
        <color theme="1"/>
        <rFont val="Yu Gothic"/>
        <family val="2"/>
        <scheme val="minor"/>
      </rPr>
      <t>/L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phoneticPr fontId="4"/>
  </si>
  <si>
    <t>相対粒径</t>
    <rPh sb="0" eb="2">
      <t>ソウタイ</t>
    </rPh>
    <rPh sb="2" eb="4">
      <t>リュウケイ</t>
    </rPh>
    <phoneticPr fontId="4"/>
  </si>
  <si>
    <r>
      <t>d</t>
    </r>
    <r>
      <rPr>
        <vertAlign val="subscript"/>
        <sz val="11"/>
        <color theme="1"/>
        <rFont val="Yu Gothic"/>
        <family val="3"/>
        <charset val="128"/>
        <scheme val="minor"/>
      </rPr>
      <t>50</t>
    </r>
    <r>
      <rPr>
        <sz val="11"/>
        <color theme="1"/>
        <rFont val="Yu Gothic"/>
        <family val="2"/>
        <scheme val="minor"/>
      </rPr>
      <t>/L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phoneticPr fontId="4"/>
  </si>
  <si>
    <r>
      <t>d</t>
    </r>
    <r>
      <rPr>
        <vertAlign val="subscript"/>
        <sz val="11"/>
        <color theme="1"/>
        <rFont val="Yu Gothic"/>
        <family val="3"/>
        <charset val="128"/>
        <scheme val="minor"/>
      </rPr>
      <t>50</t>
    </r>
    <phoneticPr fontId="5"/>
  </si>
  <si>
    <t>Cs-パラメータ</t>
    <phoneticPr fontId="4"/>
  </si>
  <si>
    <t>Cs</t>
    <phoneticPr fontId="4"/>
  </si>
  <si>
    <t>Cs-パラメータ</t>
    <phoneticPr fontId="4"/>
  </si>
  <si>
    <t>検算</t>
    <rPh sb="0" eb="2">
      <t>ケンザン</t>
    </rPh>
    <phoneticPr fontId="4"/>
  </si>
  <si>
    <t>入力セル</t>
    <rPh sb="0" eb="2">
      <t>ニュウリョク</t>
    </rPh>
    <phoneticPr fontId="4"/>
  </si>
  <si>
    <t>計算セル</t>
    <rPh sb="0" eb="2">
      <t>ケイサン</t>
    </rPh>
    <phoneticPr fontId="4"/>
  </si>
  <si>
    <t>出力セル</t>
    <rPh sb="0" eb="2">
      <t>シュツリョク</t>
    </rPh>
    <phoneticPr fontId="4"/>
  </si>
  <si>
    <t>：エクセルの機能での計算</t>
    <rPh sb="6" eb="8">
      <t>キノウ</t>
    </rPh>
    <rPh sb="10" eb="12">
      <t>ケイサン</t>
    </rPh>
    <phoneticPr fontId="4"/>
  </si>
  <si>
    <t>：VBAマクロの関数による計算</t>
    <rPh sb="8" eb="10">
      <t>カンスウ</t>
    </rPh>
    <rPh sb="13" eb="15">
      <t>ケイサン</t>
    </rPh>
    <phoneticPr fontId="4"/>
  </si>
  <si>
    <t>備考</t>
    <rPh sb="0" eb="2">
      <t>ビコウ</t>
    </rPh>
    <phoneticPr fontId="4"/>
  </si>
  <si>
    <t>：年数回波の波高</t>
    <rPh sb="1" eb="2">
      <t>ネン</t>
    </rPh>
    <rPh sb="2" eb="4">
      <t>スウカイ</t>
    </rPh>
    <rPh sb="4" eb="5">
      <t>ハ</t>
    </rPh>
    <rPh sb="6" eb="8">
      <t>ハコウ</t>
    </rPh>
    <phoneticPr fontId="4"/>
  </si>
  <si>
    <t>：年数回波の周期</t>
    <rPh sb="1" eb="2">
      <t>ネン</t>
    </rPh>
    <rPh sb="2" eb="4">
      <t>スウカイ</t>
    </rPh>
    <rPh sb="4" eb="5">
      <t>ハ</t>
    </rPh>
    <rPh sb="6" eb="8">
      <t>シュウキ</t>
    </rPh>
    <phoneticPr fontId="4"/>
  </si>
  <si>
    <t>：底質粒径，養浜材料の粒径</t>
    <rPh sb="1" eb="3">
      <t>テイシツ</t>
    </rPh>
    <rPh sb="3" eb="5">
      <t>リュウケイ</t>
    </rPh>
    <rPh sb="6" eb="8">
      <t>ヨウヒン</t>
    </rPh>
    <rPh sb="8" eb="10">
      <t>ザイリョウ</t>
    </rPh>
    <rPh sb="11" eb="13">
      <t>リュウケイ</t>
    </rPh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</si>
  <si>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r>
      <rPr>
        <sz val="11"/>
        <color theme="1"/>
        <rFont val="Yu Gothic"/>
        <family val="3"/>
        <charset val="128"/>
        <scheme val="minor"/>
      </rPr>
      <t>' (m)</t>
    </r>
    <phoneticPr fontId="5"/>
  </si>
  <si>
    <r>
      <t>d</t>
    </r>
    <r>
      <rPr>
        <sz val="11"/>
        <color theme="1"/>
        <rFont val="Yu Gothic"/>
        <family val="3"/>
        <charset val="128"/>
        <scheme val="minor"/>
      </rPr>
      <t>(mm)</t>
    </r>
    <phoneticPr fontId="5"/>
  </si>
  <si>
    <t>式(5.16.2)  Cs＞18：汀線後退，Cs&lt;18：汀線前進</t>
    <rPh sb="0" eb="1">
      <t>シキ</t>
    </rPh>
    <rPh sb="17" eb="19">
      <t>テイセン</t>
    </rPh>
    <rPh sb="19" eb="21">
      <t>コウタイ</t>
    </rPh>
    <rPh sb="28" eb="30">
      <t>テイセン</t>
    </rPh>
    <rPh sb="30" eb="32">
      <t>ゼンシン</t>
    </rPh>
    <phoneticPr fontId="4"/>
  </si>
  <si>
    <t xml:space="preserve">式(5.16.2) </t>
    <rPh sb="0" eb="1">
      <t>シキ</t>
    </rPh>
    <phoneticPr fontId="4"/>
  </si>
  <si>
    <r>
      <t>L0=gT</t>
    </r>
    <r>
      <rPr>
        <vertAlign val="superscript"/>
        <sz val="11"/>
        <color theme="1"/>
        <rFont val="Yu Gothic"/>
        <family val="3"/>
        <charset val="128"/>
        <scheme val="minor"/>
      </rPr>
      <t>2</t>
    </r>
    <r>
      <rPr>
        <sz val="11"/>
        <color theme="1"/>
        <rFont val="Yu Gothic"/>
        <family val="2"/>
        <scheme val="minor"/>
      </rPr>
      <t>/2π=1.56T</t>
    </r>
    <r>
      <rPr>
        <vertAlign val="superscript"/>
        <sz val="11"/>
        <color theme="1"/>
        <rFont val="Yu Gothic"/>
        <family val="3"/>
        <charset val="128"/>
        <scheme val="minor"/>
      </rPr>
      <t>2</t>
    </r>
    <phoneticPr fontId="4"/>
  </si>
  <si>
    <r>
      <t>H</t>
    </r>
    <r>
      <rPr>
        <vertAlign val="subscript"/>
        <sz val="11"/>
        <color theme="1"/>
        <rFont val="Yu Gothic"/>
        <family val="3"/>
        <charset val="128"/>
        <scheme val="minor"/>
      </rPr>
      <t>0</t>
    </r>
    <phoneticPr fontId="5"/>
  </si>
  <si>
    <t>：値を入力するセル（沖波波高、周期、海底勾配、底質粒径を入力）</t>
    <rPh sb="1" eb="2">
      <t>アタイ</t>
    </rPh>
    <rPh sb="3" eb="5">
      <t>ニュウリョク</t>
    </rPh>
    <rPh sb="10" eb="12">
      <t>オキナミ</t>
    </rPh>
    <rPh sb="12" eb="14">
      <t>ハコウ</t>
    </rPh>
    <rPh sb="15" eb="17">
      <t>シュウキ</t>
    </rPh>
    <rPh sb="18" eb="20">
      <t>カイテイ</t>
    </rPh>
    <rPh sb="20" eb="22">
      <t>コウバイ</t>
    </rPh>
    <rPh sb="23" eb="25">
      <t>テイシツ</t>
    </rPh>
    <rPh sb="25" eb="27">
      <t>リュウケイ</t>
    </rPh>
    <rPh sb="28" eb="30">
      <t>ニュウリョク</t>
    </rPh>
    <phoneticPr fontId="4"/>
  </si>
  <si>
    <t>【使用方法】左の表中のオレンジのセルに値を入力することで、計算セルと出力セルの値が変化します。</t>
    <rPh sb="1" eb="5">
      <t>シヨウホウホウ</t>
    </rPh>
    <rPh sb="6" eb="7">
      <t>ヒダリ</t>
    </rPh>
    <rPh sb="8" eb="9">
      <t>ヒョウ</t>
    </rPh>
    <rPh sb="9" eb="10">
      <t>チュウ</t>
    </rPh>
    <rPh sb="19" eb="20">
      <t>アタイ</t>
    </rPh>
    <rPh sb="21" eb="23">
      <t>ニュウリョク</t>
    </rPh>
    <rPh sb="29" eb="31">
      <t>ケイサン</t>
    </rPh>
    <rPh sb="34" eb="36">
      <t>シュツリョク</t>
    </rPh>
    <rPh sb="39" eb="40">
      <t>アタイ</t>
    </rPh>
    <rPh sb="41" eb="43">
      <t>ヘンカ</t>
    </rPh>
    <phoneticPr fontId="4"/>
  </si>
  <si>
    <t>-</t>
    <phoneticPr fontId="4"/>
  </si>
  <si>
    <t>【解説】</t>
    <rPh sb="1" eb="3">
      <t>カイセツ</t>
    </rPh>
    <phoneticPr fontId="4"/>
  </si>
  <si>
    <t>算定項目</t>
    <rPh sb="0" eb="2">
      <t>サンテイ</t>
    </rPh>
    <rPh sb="2" eb="4">
      <t>コウモク</t>
    </rPh>
    <phoneticPr fontId="4"/>
  </si>
  <si>
    <t>VBA関数名</t>
    <rPh sb="3" eb="5">
      <t>カンスウ</t>
    </rPh>
    <rPh sb="5" eb="6">
      <t>メイ</t>
    </rPh>
    <phoneticPr fontId="4"/>
  </si>
  <si>
    <t>引数</t>
    <rPh sb="0" eb="2">
      <t>ヒキスウ</t>
    </rPh>
    <phoneticPr fontId="4"/>
  </si>
  <si>
    <t>・VBA関数は、Excelの組み込み関数と同じように使用することができます。</t>
    <rPh sb="4" eb="6">
      <t>カンスウ</t>
    </rPh>
    <rPh sb="14" eb="15">
      <t>ク</t>
    </rPh>
    <rPh sb="16" eb="17">
      <t>コ</t>
    </rPh>
    <rPh sb="18" eb="20">
      <t>カンスウ</t>
    </rPh>
    <rPh sb="21" eb="22">
      <t>オナ</t>
    </rPh>
    <rPh sb="26" eb="28">
      <t>シヨウ</t>
    </rPh>
    <phoneticPr fontId="4"/>
  </si>
  <si>
    <t>・VBA関数のソースコードは、エクセルメニューの［開発］タブの［コードの表示］から参照できます。</t>
    <rPh sb="4" eb="6">
      <t>カンスウ</t>
    </rPh>
    <rPh sb="25" eb="27">
      <t>カイハツ</t>
    </rPh>
    <rPh sb="36" eb="38">
      <t>ヒョウジ</t>
    </rPh>
    <rPh sb="41" eb="43">
      <t>サンショウ</t>
    </rPh>
    <phoneticPr fontId="4"/>
  </si>
  <si>
    <t>・Excelのメニューに「開発」タブが表示されていない場合は、WEBの情報から表示方法を確認し、表示できるようにしてください。</t>
    <rPh sb="13" eb="15">
      <t>カイハツ</t>
    </rPh>
    <rPh sb="19" eb="21">
      <t>ヒョウジ</t>
    </rPh>
    <rPh sb="27" eb="29">
      <t>バアイ</t>
    </rPh>
    <rPh sb="35" eb="37">
      <t>ジョウホウ</t>
    </rPh>
    <rPh sb="39" eb="41">
      <t>ヒョウジ</t>
    </rPh>
    <rPh sb="41" eb="43">
      <t>ホウホウ</t>
    </rPh>
    <rPh sb="44" eb="46">
      <t>カクニン</t>
    </rPh>
    <rPh sb="48" eb="50">
      <t>ヒョウジ</t>
    </rPh>
    <phoneticPr fontId="4"/>
  </si>
  <si>
    <t>Cs_parameter</t>
    <phoneticPr fontId="4"/>
  </si>
  <si>
    <t>Cs値を満たす波高</t>
    <rPh sb="2" eb="3">
      <t>チ</t>
    </rPh>
    <rPh sb="4" eb="5">
      <t>ミ</t>
    </rPh>
    <rPh sb="7" eb="9">
      <t>ハコウ</t>
    </rPh>
    <phoneticPr fontId="4"/>
  </si>
  <si>
    <t>Cs値を満たす粒径</t>
    <rPh sb="2" eb="3">
      <t>チ</t>
    </rPh>
    <rPh sb="4" eb="5">
      <t>ミ</t>
    </rPh>
    <rPh sb="7" eb="9">
      <t>リュウケイ</t>
    </rPh>
    <phoneticPr fontId="4"/>
  </si>
  <si>
    <t>Cs値を満たす勾配</t>
    <rPh sb="2" eb="3">
      <t>チ</t>
    </rPh>
    <rPh sb="4" eb="5">
      <t>ミ</t>
    </rPh>
    <rPh sb="7" eb="9">
      <t>コウバイ</t>
    </rPh>
    <phoneticPr fontId="4"/>
  </si>
  <si>
    <t>Cs_to_WaveHeight</t>
    <phoneticPr fontId="4"/>
  </si>
  <si>
    <t>Cs_to_Grainsize_mm</t>
    <phoneticPr fontId="4"/>
  </si>
  <si>
    <t>Cs_to_slope</t>
    <phoneticPr fontId="4"/>
  </si>
  <si>
    <t>(d, H0, T, tanβ)</t>
    <phoneticPr fontId="4"/>
  </si>
  <si>
    <t>(Cs, d, T, tanβ )</t>
    <phoneticPr fontId="4"/>
  </si>
  <si>
    <t>(Cs, H0, T, tanβ )</t>
    <phoneticPr fontId="4"/>
  </si>
  <si>
    <t>(Cs, d,  H0, T)</t>
    <phoneticPr fontId="4"/>
  </si>
  <si>
    <t>d(mm)(Cs=18) =</t>
    <phoneticPr fontId="4"/>
  </si>
  <si>
    <t>H0(Cs=18) =</t>
    <phoneticPr fontId="4"/>
  </si>
  <si>
    <t>tanβ</t>
    <phoneticPr fontId="5"/>
  </si>
  <si>
    <t>1/10</t>
    <phoneticPr fontId="4"/>
  </si>
  <si>
    <t>1/20</t>
    <phoneticPr fontId="4"/>
  </si>
  <si>
    <t>1/25</t>
    <phoneticPr fontId="4"/>
  </si>
  <si>
    <t>1/30</t>
    <phoneticPr fontId="4"/>
  </si>
  <si>
    <t>（２）の計算例： (汀線が後退しない(Cs&lt;18を満たす)沖波波高</t>
    <rPh sb="4" eb="6">
      <t>ケイサン</t>
    </rPh>
    <rPh sb="6" eb="7">
      <t>レイ</t>
    </rPh>
    <rPh sb="10" eb="12">
      <t>テイセン</t>
    </rPh>
    <rPh sb="13" eb="15">
      <t>コウタイ</t>
    </rPh>
    <rPh sb="25" eb="26">
      <t>ミ</t>
    </rPh>
    <rPh sb="29" eb="31">
      <t>オキナミ</t>
    </rPh>
    <rPh sb="31" eb="33">
      <t>ハコウ</t>
    </rPh>
    <phoneticPr fontId="4"/>
  </si>
  <si>
    <t>（３）の計算例： (汀線が後退しない(Cs&lt;18を満たす)底質粒径</t>
    <rPh sb="4" eb="6">
      <t>ケイサン</t>
    </rPh>
    <rPh sb="6" eb="7">
      <t>レイ</t>
    </rPh>
    <rPh sb="29" eb="31">
      <t>テイシツ</t>
    </rPh>
    <rPh sb="31" eb="33">
      <t>リュウケイ</t>
    </rPh>
    <phoneticPr fontId="4"/>
  </si>
  <si>
    <t>(おまけ) Cs&lt;18の条件からtanβを直接求めるように式変形すると次式となる。</t>
    <rPh sb="12" eb="14">
      <t>ジョウケン</t>
    </rPh>
    <rPh sb="21" eb="23">
      <t>チョクセツ</t>
    </rPh>
    <rPh sb="23" eb="24">
      <t>モト</t>
    </rPh>
    <rPh sb="29" eb="32">
      <t>シキヘンケイ</t>
    </rPh>
    <rPh sb="35" eb="37">
      <t>ジシキ</t>
    </rPh>
    <phoneticPr fontId="4"/>
  </si>
  <si>
    <t>式(5.16.2)</t>
    <rPh sb="0" eb="1">
      <t>シキ</t>
    </rPh>
    <phoneticPr fontId="4"/>
  </si>
  <si>
    <t>式(5.16.3)</t>
    <rPh sb="0" eb="1">
      <t>シキ</t>
    </rPh>
    <phoneticPr fontId="4"/>
  </si>
  <si>
    <t>式(5.16.4)</t>
    <rPh sb="0" eb="1">
      <t>シキ</t>
    </rPh>
    <phoneticPr fontId="4"/>
  </si>
  <si>
    <t>式(おまけ)</t>
    <rPh sb="0" eb="1">
      <t>シキ</t>
    </rPh>
    <phoneticPr fontId="4"/>
  </si>
  <si>
    <t xml:space="preserve">tanβ(Cs=18) = </t>
    <phoneticPr fontId="4"/>
  </si>
  <si>
    <t>⇒3.61m</t>
    <phoneticPr fontId="4"/>
  </si>
  <si>
    <t>(小数第2位まで求めるには切り捨てる）</t>
    <rPh sb="1" eb="3">
      <t>ショウスウ</t>
    </rPh>
    <rPh sb="3" eb="4">
      <t>ダイ</t>
    </rPh>
    <rPh sb="5" eb="6">
      <t>イ</t>
    </rPh>
    <rPh sb="8" eb="9">
      <t>モト</t>
    </rPh>
    <rPh sb="13" eb="14">
      <t>キ</t>
    </rPh>
    <rPh sb="15" eb="16">
      <t>ス</t>
    </rPh>
    <phoneticPr fontId="4"/>
  </si>
  <si>
    <t>⇒4.9mm</t>
    <phoneticPr fontId="4"/>
  </si>
  <si>
    <t>（小数第1位まで求めるには切り上げる）</t>
    <rPh sb="1" eb="3">
      <t>ショウスウ</t>
    </rPh>
    <rPh sb="3" eb="4">
      <t>ダイ</t>
    </rPh>
    <rPh sb="5" eb="6">
      <t>イ</t>
    </rPh>
    <rPh sb="8" eb="9">
      <t>モト</t>
    </rPh>
    <rPh sb="13" eb="14">
      <t>キ</t>
    </rPh>
    <rPh sb="15" eb="16">
      <t>ア</t>
    </rPh>
    <phoneticPr fontId="4"/>
  </si>
  <si>
    <t>1/33.3</t>
    <phoneticPr fontId="4"/>
  </si>
  <si>
    <t>⇒0.030</t>
    <phoneticPr fontId="4"/>
  </si>
  <si>
    <t>（小数第3位まで求めるには切り捨てる）</t>
    <rPh sb="1" eb="3">
      <t>ショウスウ</t>
    </rPh>
    <rPh sb="3" eb="4">
      <t>ダイ</t>
    </rPh>
    <rPh sb="5" eb="6">
      <t>イ</t>
    </rPh>
    <rPh sb="8" eb="9">
      <t>モト</t>
    </rPh>
    <rPh sb="13" eb="14">
      <t>キ</t>
    </rPh>
    <rPh sb="15" eb="16">
      <t>ス</t>
    </rPh>
    <phoneticPr fontId="4"/>
  </si>
  <si>
    <t>=1/33.3</t>
    <phoneticPr fontId="4"/>
  </si>
  <si>
    <t>(おまけ)：汀線が後退しない(Cs&lt;18を満たす)海底勾配</t>
    <rPh sb="25" eb="27">
      <t>カイテイ</t>
    </rPh>
    <rPh sb="27" eb="29">
      <t>コウバイ</t>
    </rPh>
    <phoneticPr fontId="4"/>
  </si>
  <si>
    <t>【例題5.16】 （１）の計算例</t>
    <rPh sb="1" eb="3">
      <t>レイダイ</t>
    </rPh>
    <rPh sb="13" eb="15">
      <t>ケイサン</t>
    </rPh>
    <rPh sb="15" eb="16">
      <t>レイ</t>
    </rPh>
    <phoneticPr fontId="4"/>
  </si>
  <si>
    <t>【例題5.16】</t>
    <rPh sb="1" eb="3">
      <t>レイダイ</t>
    </rPh>
    <phoneticPr fontId="4"/>
  </si>
  <si>
    <t>海底勾配</t>
    <rPh sb="0" eb="4">
      <t>カイテイコウバイ</t>
    </rPh>
    <phoneticPr fontId="4"/>
  </si>
  <si>
    <t>このシートでは、海浜断面を分類するCs値とある特定のCs値を満たすような波高、粒径、海底勾配を算定するVBA関数が使用されています。</t>
    <rPh sb="8" eb="10">
      <t>カイヒン</t>
    </rPh>
    <rPh sb="10" eb="12">
      <t>ダンメン</t>
    </rPh>
    <rPh sb="13" eb="15">
      <t>ブンルイ</t>
    </rPh>
    <rPh sb="19" eb="20">
      <t>チ</t>
    </rPh>
    <rPh sb="23" eb="25">
      <t>トクテイ</t>
    </rPh>
    <rPh sb="28" eb="29">
      <t>チ</t>
    </rPh>
    <rPh sb="30" eb="31">
      <t>ミ</t>
    </rPh>
    <rPh sb="36" eb="38">
      <t>ハコウ</t>
    </rPh>
    <rPh sb="39" eb="41">
      <t>リュウケイ</t>
    </rPh>
    <rPh sb="42" eb="44">
      <t>カイテイ</t>
    </rPh>
    <rPh sb="44" eb="46">
      <t>コウバイ</t>
    </rPh>
    <rPh sb="47" eb="49">
      <t>サンテイ</t>
    </rPh>
    <rPh sb="54" eb="56">
      <t>カンスウ</t>
    </rPh>
    <rPh sb="57" eb="59">
      <t>シヨウ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</si>
</sst>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"/>
    <numFmt numFmtId="177" formatCode="0.000"/>
    <numFmt numFmtId="178" formatCode="0.0"/>
    <numFmt numFmtId="179" formatCode="0.00.E+00"/>
  </numFmts>
  <fonts count="10">
    <font>
      <sz val="11"/>
      <color theme="1"/>
      <name val="Yu Gothic"/>
      <family val="2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vertAlign val="subscript"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vertAlign val="superscript"/>
      <sz val="11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>
      <alignment vertical="center"/>
    </xf>
    <xf numFmtId="0" fontId="2" fillId="3" borderId="2" applyNumberFormat="0" applyAlignment="0" applyProtection="0">
      <alignment vertical="center"/>
    </xf>
    <xf numFmtId="0" fontId="3" fillId="3" borderId="1" applyNumberFormat="0" applyAlignment="0" applyProtection="0">
      <alignment vertical="center"/>
    </xf>
  </cellStyleXfs>
  <cellXfs count="47">
    <xf numFmtId="0" fontId="0" fillId="0" borderId="0" xfId="0"/>
    <xf numFmtId="0" fontId="0" fillId="0" borderId="3" xfId="0" applyBorder="1" applyAlignment="1">
      <alignment vertical="center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2" fillId="3" borderId="2" xfId="2" applyAlignment="1"/>
    <xf numFmtId="0" fontId="0" fillId="0" borderId="5" xfId="0" applyBorder="1" applyAlignment="1">
      <alignment vertical="center"/>
    </xf>
    <xf numFmtId="0" fontId="0" fillId="0" borderId="5" xfId="0" applyBorder="1" applyAlignment="1">
      <alignment horizontal="center" vertical="center"/>
    </xf>
    <xf numFmtId="177" fontId="2" fillId="3" borderId="3" xfId="2" applyNumberFormat="1" applyBorder="1" applyAlignment="1"/>
    <xf numFmtId="1" fontId="3" fillId="3" borderId="3" xfId="3" applyNumberFormat="1" applyBorder="1" applyAlignment="1"/>
    <xf numFmtId="176" fontId="3" fillId="3" borderId="3" xfId="3" applyNumberFormat="1" applyBorder="1" applyAlignment="1"/>
    <xf numFmtId="179" fontId="3" fillId="3" borderId="3" xfId="3" applyNumberFormat="1" applyBorder="1" applyAlignment="1"/>
    <xf numFmtId="177" fontId="3" fillId="3" borderId="3" xfId="3" applyNumberFormat="1" applyBorder="1" applyAlignment="1"/>
    <xf numFmtId="0" fontId="1" fillId="2" borderId="1" xfId="1" applyAlignment="1"/>
    <xf numFmtId="0" fontId="3" fillId="3" borderId="1" xfId="3" applyAlignme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3" xfId="0" applyFill="1" applyBorder="1"/>
    <xf numFmtId="0" fontId="0" fillId="4" borderId="6" xfId="0" applyFill="1" applyBorder="1"/>
    <xf numFmtId="0" fontId="0" fillId="4" borderId="0" xfId="0" applyFill="1" applyAlignment="1">
      <alignment vertical="center"/>
    </xf>
    <xf numFmtId="178" fontId="1" fillId="2" borderId="1" xfId="1" applyNumberFormat="1" applyAlignment="1"/>
    <xf numFmtId="0" fontId="9" fillId="0" borderId="0" xfId="0" applyFont="1"/>
    <xf numFmtId="0" fontId="1" fillId="2" borderId="10" xfId="1" applyBorder="1" applyAlignment="1">
      <alignment vertical="center"/>
    </xf>
    <xf numFmtId="0" fontId="1" fillId="2" borderId="11" xfId="1" applyBorder="1" applyAlignment="1">
      <alignment vertical="center"/>
    </xf>
    <xf numFmtId="0" fontId="1" fillId="2" borderId="11" xfId="1" applyBorder="1" applyAlignment="1"/>
    <xf numFmtId="0" fontId="1" fillId="2" borderId="12" xfId="1" applyBorder="1" applyAlignment="1">
      <alignment vertical="center"/>
    </xf>
    <xf numFmtId="0" fontId="0" fillId="4" borderId="6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5" borderId="9" xfId="0" applyFill="1" applyBorder="1" applyAlignment="1">
      <alignment horizontal="left"/>
    </xf>
    <xf numFmtId="0" fontId="0" fillId="5" borderId="13" xfId="0" applyFill="1" applyBorder="1" applyAlignment="1">
      <alignment horizontal="centerContinuous" vertical="center"/>
    </xf>
    <xf numFmtId="0" fontId="0" fillId="5" borderId="9" xfId="0" applyFill="1" applyBorder="1" applyAlignment="1">
      <alignment horizontal="centerContinuous" vertical="center"/>
    </xf>
    <xf numFmtId="0" fontId="0" fillId="5" borderId="13" xfId="0" applyFill="1" applyBorder="1" applyAlignment="1">
      <alignment horizontal="centerContinuous"/>
    </xf>
    <xf numFmtId="0" fontId="0" fillId="5" borderId="9" xfId="0" applyFill="1" applyBorder="1" applyAlignment="1">
      <alignment horizontal="centerContinuous"/>
    </xf>
    <xf numFmtId="0" fontId="0" fillId="5" borderId="13" xfId="0" applyFill="1" applyBorder="1"/>
    <xf numFmtId="0" fontId="0" fillId="5" borderId="9" xfId="0" applyFill="1" applyBorder="1"/>
    <xf numFmtId="176" fontId="0" fillId="0" borderId="0" xfId="0" applyNumberFormat="1"/>
    <xf numFmtId="2" fontId="1" fillId="2" borderId="1" xfId="1" applyNumberFormat="1" applyAlignment="1"/>
    <xf numFmtId="0" fontId="0" fillId="0" borderId="0" xfId="0" quotePrefix="1"/>
    <xf numFmtId="177" fontId="0" fillId="0" borderId="0" xfId="0" applyNumberFormat="1"/>
    <xf numFmtId="177" fontId="1" fillId="2" borderId="1" xfId="1" applyNumberFormat="1" applyAlignment="1"/>
    <xf numFmtId="0" fontId="0" fillId="0" borderId="0" xfId="0" quotePrefix="1" applyAlignment="1">
      <alignment horizontal="center"/>
    </xf>
    <xf numFmtId="0" fontId="0" fillId="0" borderId="0" xfId="0" applyAlignment="1">
      <alignment horizontal="right"/>
    </xf>
  </cellXfs>
  <cellStyles count="4">
    <cellStyle name="計算" xfId="3" builtinId="22"/>
    <cellStyle name="出力" xfId="2" builtinId="21"/>
    <cellStyle name="入力" xfId="1" builtinId="20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6</xdr:row>
      <xdr:rowOff>0</xdr:rowOff>
    </xdr:from>
    <xdr:to>
      <xdr:col>25</xdr:col>
      <xdr:colOff>11206</xdr:colOff>
      <xdr:row>17</xdr:row>
      <xdr:rowOff>144380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B740E75-F50B-9D5A-6F66-017935AED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1912" y="1456765"/>
          <a:ext cx="6846794" cy="2822586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15</xdr:col>
      <xdr:colOff>0</xdr:colOff>
      <xdr:row>17</xdr:row>
      <xdr:rowOff>224117</xdr:rowOff>
    </xdr:from>
    <xdr:to>
      <xdr:col>24</xdr:col>
      <xdr:colOff>459441</xdr:colOff>
      <xdr:row>21</xdr:row>
      <xdr:rowOff>11434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06B2E6C-B38B-115D-BC3C-EF0D6277A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1912" y="4359088"/>
          <a:ext cx="6611470" cy="728611"/>
        </a:xfrm>
        <a:prstGeom prst="rect">
          <a:avLst/>
        </a:prstGeom>
      </xdr:spPr>
    </xdr:pic>
    <xdr:clientData/>
  </xdr:twoCellAnchor>
  <xdr:twoCellAnchor editAs="oneCell">
    <xdr:from>
      <xdr:col>15</xdr:col>
      <xdr:colOff>44823</xdr:colOff>
      <xdr:row>21</xdr:row>
      <xdr:rowOff>11205</xdr:rowOff>
    </xdr:from>
    <xdr:to>
      <xdr:col>24</xdr:col>
      <xdr:colOff>554376</xdr:colOff>
      <xdr:row>24</xdr:row>
      <xdr:rowOff>78440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D5DEA603-5CB2-EC28-895E-E1838435F6E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508"/>
        <a:stretch/>
      </xdr:blipFill>
      <xdr:spPr>
        <a:xfrm>
          <a:off x="11306735" y="5087470"/>
          <a:ext cx="6661582" cy="773205"/>
        </a:xfrm>
        <a:prstGeom prst="rect">
          <a:avLst/>
        </a:prstGeom>
      </xdr:spPr>
    </xdr:pic>
    <xdr:clientData/>
  </xdr:twoCellAnchor>
  <xdr:twoCellAnchor>
    <xdr:from>
      <xdr:col>15</xdr:col>
      <xdr:colOff>13139</xdr:colOff>
      <xdr:row>26</xdr:row>
      <xdr:rowOff>8115</xdr:rowOff>
    </xdr:from>
    <xdr:to>
      <xdr:col>21</xdr:col>
      <xdr:colOff>512381</xdr:colOff>
      <xdr:row>28</xdr:row>
      <xdr:rowOff>164997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64810EBA-B078-62C8-D9A3-00FC6BF8189A}"/>
                </a:ext>
              </a:extLst>
            </xdr:cNvPr>
            <xdr:cNvSpPr txBox="1"/>
          </xdr:nvSpPr>
          <xdr:spPr>
            <a:xfrm>
              <a:off x="11259208" y="6274908"/>
              <a:ext cx="4598276" cy="62984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nor/>
                      </m:rPr>
                      <a:rPr kumimoji="1" lang="en-US" altLang="ja-JP" sz="1000" b="0" i="0" kern="1200">
                        <a:latin typeface="Cambria Math" panose="02040503050406030204" pitchFamily="18" charset="0"/>
                      </a:rPr>
                      <m:t>tan</m:t>
                    </m:r>
                    <m:r>
                      <a:rPr kumimoji="1" lang="en-US" altLang="ja-JP" sz="1000" b="0" i="1" kern="1200">
                        <a:latin typeface="Cambria Math" panose="02040503050406030204" pitchFamily="18" charset="0"/>
                      </a:rPr>
                      <m:t>𝛽</m:t>
                    </m:r>
                    <m:r>
                      <a:rPr kumimoji="1" lang="en-US" altLang="ja-JP" sz="1000" b="0" i="1" kern="1200">
                        <a:latin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kumimoji="1" lang="en-US" altLang="ja-JP" sz="1000" b="0" i="1" kern="1200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kumimoji="1" lang="en-US" altLang="ja-JP" sz="1000" b="0" i="1" kern="1200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  <m:sSup>
                              <m:sSupPr>
                                <m:ctrlP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kumimoji="1" lang="en-US" altLang="ja-JP" sz="10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kumimoji="1" lang="en-US" altLang="ja-JP" sz="1000" b="0" i="1" kern="1200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sSub>
                                          <m:sSubPr>
                                            <m:ctrlP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  <m:t>𝐻</m:t>
                                            </m:r>
                                          </m:e>
                                          <m:sub>
                                            <m: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  <m:t>𝐿</m:t>
                                            </m:r>
                                          </m:e>
                                          <m:sub>
                                            <m:r>
                                              <a:rPr kumimoji="1" lang="en-US" altLang="ja-JP" sz="1000" b="0" i="1" kern="1200">
                                                <a:latin typeface="Cambria Math" panose="02040503050406030204" pitchFamily="18" charset="0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  <m:t>−1</m:t>
                                </m:r>
                              </m:sup>
                            </m:sSup>
                            <m:sSup>
                              <m:sSupPr>
                                <m:ctrlP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kumimoji="1" lang="en-US" altLang="ja-JP" sz="1000" b="0" i="1" kern="1200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kumimoji="1" lang="en-US" altLang="ja-JP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kumimoji="1" lang="en-US" altLang="ja-JP" sz="1000" b="0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𝑑</m:t>
                                        </m:r>
                                      </m:num>
                                      <m:den>
                                        <m:sSub>
                                          <m:sSubPr>
                                            <m:ctrlPr>
                                              <a:rPr kumimoji="1" lang="en-US" altLang="ja-JP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kumimoji="1" lang="en-US" altLang="ja-JP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𝐿</m:t>
                                            </m:r>
                                          </m:e>
                                          <m:sub>
                                            <m:r>
                                              <a:rPr kumimoji="1" lang="en-US" altLang="ja-JP" sz="1000" b="0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</m:den>
                                    </m:f>
                                  </m:e>
                                </m:d>
                              </m:e>
                              <m:sup>
                                <m: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</a:rPr>
                                  <m:t>0.67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kumimoji="1" lang="en-US" altLang="ja-JP" sz="1000" b="0" i="1" kern="1200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kumimoji="1" lang="en-US" altLang="ja-JP" sz="1000" b="0" i="1" kern="1200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kumimoji="1" lang="en-US" altLang="ja-JP" sz="1000" b="0" i="1" kern="1200">
                                <a:latin typeface="Cambria Math" panose="02040503050406030204" pitchFamily="18" charset="0"/>
                              </a:rPr>
                              <m:t>0.27</m:t>
                            </m:r>
                          </m:den>
                        </m:f>
                      </m:sup>
                    </m:sSup>
                    <m:r>
                      <a:rPr kumimoji="1" lang="en-US" altLang="ja-JP" sz="1000" b="0" i="1" kern="120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kumimoji="1" lang="en-US" altLang="ja-JP" sz="1000" b="0" i="1" kern="1200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kumimoji="1" lang="en-US" altLang="ja-JP" sz="1000" b="0" i="1" kern="1200">
                            <a:latin typeface="Cambria Math" panose="02040503050406030204" pitchFamily="18" charset="0"/>
                          </a:rPr>
                          <m:t>18</m:t>
                        </m:r>
                        <m:r>
                          <a:rPr kumimoji="1" lang="en-US" altLang="ja-JP" sz="1000" b="0" i="1" kern="120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p>
                          <m:sSupPr>
                            <m:ctrlPr>
                              <a:rPr kumimoji="1" lang="en-US" altLang="ja-JP" sz="1000" b="0" i="1" kern="120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kumimoji="1" lang="en-US" altLang="ja-JP" sz="1000" b="0" i="1" kern="120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kumimoji="1" lang="en-US" altLang="ja-JP" sz="1000" b="0" i="1" kern="120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kumimoji="1" lang="en-US" altLang="ja-JP" sz="1000" b="0" i="1" kern="120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num>
                                  <m:den>
                                    <m:r>
                                      <a:rPr kumimoji="1" lang="en-US" altLang="ja-JP" sz="1000" b="0" i="1" kern="120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156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kumimoji="1" lang="en-US" altLang="ja-JP" sz="1000" b="0" i="1" kern="120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sup>
                        </m:sSup>
                        <m:sSup>
                          <m:sSupPr>
                            <m:ctrlPr>
                              <a:rPr kumimoji="1" lang="en-US" altLang="ja-JP" sz="10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kumimoji="1" lang="en-US" altLang="ja-JP" sz="1000" b="0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kumimoji="1" lang="en-US" altLang="ja-JP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kumimoji="1" lang="en-US" altLang="ja-JP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0.003</m:t>
                                    </m:r>
                                  </m:num>
                                  <m:den>
                                    <m:r>
                                      <a:rPr kumimoji="1" lang="en-US" altLang="ja-JP" sz="1000" b="0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156</m:t>
                                    </m:r>
                                  </m:den>
                                </m:f>
                              </m:e>
                            </m:d>
                          </m:e>
                          <m:sup>
                            <m:r>
                              <a:rPr kumimoji="1" lang="en-US" altLang="ja-JP" sz="1000" b="0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0.67</m:t>
                            </m:r>
                          </m:sup>
                        </m:sSup>
                      </m:e>
                    </m:d>
                    <m:r>
                      <a:rPr kumimoji="1" lang="en-US" altLang="ja-JP" sz="1000" b="0" i="1" kern="1200">
                        <a:latin typeface="Cambria Math" panose="02040503050406030204" pitchFamily="18" charset="0"/>
                      </a:rPr>
                      <m:t>=0.0302</m:t>
                    </m:r>
                  </m:oMath>
                </m:oMathPara>
              </a14:m>
              <a:endParaRPr kumimoji="1" lang="ja-JP" altLang="en-US" sz="1000" kern="1200"/>
            </a:p>
          </xdr:txBody>
        </xdr:sp>
      </mc:Choice>
      <mc:Fallback xmlns="">
        <xdr:sp macro="" textlink="">
          <xdr:nvSpPr>
            <xdr:cNvPr id="5" name="テキスト ボックス 4">
              <a:extLst>
                <a:ext uri="{FF2B5EF4-FFF2-40B4-BE49-F238E27FC236}">
                  <a16:creationId xmlns:a16="http://schemas.microsoft.com/office/drawing/2014/main" id="{64810EBA-B078-62C8-D9A3-00FC6BF8189A}"/>
                </a:ext>
              </a:extLst>
            </xdr:cNvPr>
            <xdr:cNvSpPr txBox="1"/>
          </xdr:nvSpPr>
          <xdr:spPr>
            <a:xfrm>
              <a:off x="11259208" y="6274908"/>
              <a:ext cx="4598276" cy="62984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kumimoji="1" lang="en-US" altLang="ja-JP" sz="1000" b="0" i="0" kern="1200">
                  <a:latin typeface="Cambria Math" panose="02040503050406030204" pitchFamily="18" charset="0"/>
                </a:rPr>
                <a:t>"tan" 𝛽&lt;[𝐶_𝑠 (𝐻_0/𝐿_0 )^(−1) (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𝐿_0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kumimoji="1" lang="en-US" altLang="ja-JP" sz="1000" b="0" i="0" kern="12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</a:t>
              </a:r>
              <a:r>
                <a:rPr kumimoji="1" lang="en-US" altLang="ja-JP" sz="1000" b="0" i="0" kern="1200">
                  <a:latin typeface="Cambria Math" panose="02040503050406030204" pitchFamily="18" charset="0"/>
                </a:rPr>
                <a:t>0.67 ]^(1/0.27)=[18</a:t>
              </a:r>
              <a:r>
                <a:rPr kumimoji="1" lang="en-US" altLang="ja-JP" sz="1000" b="0" i="0" kern="1200">
                  <a:latin typeface="Cambria Math" panose="02040503050406030204" pitchFamily="18" charset="0"/>
                  <a:ea typeface="Cambria Math" panose="02040503050406030204" pitchFamily="18" charset="0"/>
                </a:rPr>
                <a:t>∙(5/156)^(−1)</a:t>
              </a:r>
              <a:r>
                <a:rPr kumimoji="1" lang="en-US" altLang="ja-JP" sz="1000" b="0" i="0" kern="12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0.003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156</a:t>
              </a:r>
              <a:r>
                <a:rPr kumimoji="1" lang="en-US" altLang="ja-JP" sz="1000" b="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)^0.67</a:t>
              </a:r>
              <a:r>
                <a:rPr kumimoji="1" lang="en-US" altLang="ja-JP" sz="1000" b="0" i="0" kern="120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]</a:t>
              </a:r>
              <a:r>
                <a:rPr kumimoji="1" lang="en-US" altLang="ja-JP" sz="1000" b="0" i="0" kern="1200">
                  <a:latin typeface="Cambria Math" panose="02040503050406030204" pitchFamily="18" charset="0"/>
                </a:rPr>
                <a:t>=0.0302</a:t>
              </a:r>
              <a:endParaRPr kumimoji="1" lang="ja-JP" altLang="en-US" sz="1000" kern="12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8E0C1-D2FC-47F0-B923-40AAB6B051A4}">
  <sheetPr codeName="Sheet3"/>
  <dimension ref="B1:W40"/>
  <sheetViews>
    <sheetView tabSelected="1" zoomScale="85" zoomScaleNormal="85" workbookViewId="0">
      <selection activeCell="P32" sqref="P32"/>
    </sheetView>
  </sheetViews>
  <sheetFormatPr defaultRowHeight="18.75"/>
  <cols>
    <col min="2" max="2" width="19.25" bestFit="1" customWidth="1"/>
    <col min="3" max="3" width="9.5" customWidth="1"/>
    <col min="4" max="4" width="10.375" bestFit="1" customWidth="1"/>
    <col min="5" max="5" width="9.75" customWidth="1"/>
    <col min="6" max="6" width="9.125" customWidth="1"/>
  </cols>
  <sheetData>
    <row r="1" spans="2:17">
      <c r="B1" t="s">
        <v>85</v>
      </c>
      <c r="P1" s="23" t="s">
        <v>41</v>
      </c>
    </row>
    <row r="2" spans="2:17">
      <c r="B2" s="19" t="s">
        <v>8</v>
      </c>
      <c r="C2" s="19" t="s">
        <v>9</v>
      </c>
      <c r="D2" s="20" t="s">
        <v>7</v>
      </c>
      <c r="E2" s="19" t="s">
        <v>10</v>
      </c>
      <c r="F2" s="28" t="s">
        <v>30</v>
      </c>
      <c r="G2" s="29"/>
      <c r="H2" s="29"/>
      <c r="I2" s="29"/>
      <c r="J2" s="32"/>
      <c r="P2" s="14" t="s">
        <v>25</v>
      </c>
      <c r="Q2" t="s">
        <v>40</v>
      </c>
    </row>
    <row r="3" spans="2:17" ht="20.25">
      <c r="B3" s="4" t="s">
        <v>0</v>
      </c>
      <c r="C3" s="5" t="s">
        <v>39</v>
      </c>
      <c r="D3" s="17" t="s">
        <v>6</v>
      </c>
      <c r="E3" s="24">
        <v>5</v>
      </c>
      <c r="F3" s="30" t="s">
        <v>31</v>
      </c>
      <c r="G3" s="31"/>
      <c r="H3" s="31"/>
      <c r="I3" s="31"/>
      <c r="J3" s="33"/>
      <c r="P3" s="15" t="s">
        <v>26</v>
      </c>
      <c r="Q3" t="s">
        <v>28</v>
      </c>
    </row>
    <row r="4" spans="2:17">
      <c r="B4" s="1" t="s">
        <v>1</v>
      </c>
      <c r="C4" s="3" t="s">
        <v>3</v>
      </c>
      <c r="D4" s="16" t="s">
        <v>5</v>
      </c>
      <c r="E4" s="25">
        <v>10</v>
      </c>
      <c r="F4" s="30" t="s">
        <v>32</v>
      </c>
      <c r="G4" s="31"/>
      <c r="H4" s="31"/>
      <c r="I4" s="31"/>
      <c r="J4" s="33"/>
      <c r="P4" s="6" t="s">
        <v>27</v>
      </c>
      <c r="Q4" t="s">
        <v>29</v>
      </c>
    </row>
    <row r="5" spans="2:17">
      <c r="B5" s="1" t="s">
        <v>11</v>
      </c>
      <c r="C5" s="3" t="s">
        <v>12</v>
      </c>
      <c r="D5" s="16" t="s">
        <v>42</v>
      </c>
      <c r="E5" s="26">
        <v>0.1</v>
      </c>
      <c r="F5" s="30"/>
      <c r="G5" s="31"/>
      <c r="H5" s="31"/>
      <c r="I5" s="31"/>
      <c r="J5" s="33"/>
    </row>
    <row r="6" spans="2:17" ht="20.25">
      <c r="B6" s="7" t="s">
        <v>2</v>
      </c>
      <c r="C6" s="8" t="s">
        <v>20</v>
      </c>
      <c r="D6" s="18" t="s">
        <v>4</v>
      </c>
      <c r="E6" s="27">
        <v>3</v>
      </c>
      <c r="F6" s="30" t="s">
        <v>33</v>
      </c>
      <c r="G6" s="31"/>
      <c r="H6" s="31"/>
      <c r="I6" s="31"/>
      <c r="J6" s="33"/>
      <c r="P6" t="s">
        <v>43</v>
      </c>
    </row>
    <row r="7" spans="2:17">
      <c r="B7" s="1" t="s">
        <v>23</v>
      </c>
      <c r="C7" s="3" t="s">
        <v>22</v>
      </c>
      <c r="D7" s="16" t="str">
        <f>IF(E7&gt;18,"後退","前進")</f>
        <v>後退</v>
      </c>
      <c r="E7" s="9" cm="1">
        <f t="array" ref="E7">Cs_parameter(E6,E3,E4,E5)</f>
        <v>24.865289229750026</v>
      </c>
      <c r="F7" s="30" t="s">
        <v>36</v>
      </c>
      <c r="G7" s="31"/>
      <c r="H7" s="31"/>
      <c r="I7" s="31"/>
      <c r="J7" s="33"/>
    </row>
    <row r="9" spans="2:17">
      <c r="B9" s="21" t="s">
        <v>24</v>
      </c>
    </row>
    <row r="10" spans="2:17" ht="20.25">
      <c r="B10" s="1" t="s">
        <v>13</v>
      </c>
      <c r="C10" s="3" t="s">
        <v>14</v>
      </c>
      <c r="D10" s="2" t="s">
        <v>15</v>
      </c>
      <c r="E10" s="10">
        <f>9.8*E4^2/(2*PI())</f>
        <v>155.97184423005746</v>
      </c>
      <c r="F10" s="30" t="s">
        <v>38</v>
      </c>
      <c r="G10" s="31"/>
      <c r="H10" s="31"/>
      <c r="I10" s="31"/>
      <c r="J10" s="33"/>
    </row>
    <row r="11" spans="2:17" ht="20.25">
      <c r="B11" s="1" t="s">
        <v>16</v>
      </c>
      <c r="C11" s="3" t="s">
        <v>17</v>
      </c>
      <c r="D11" s="16" t="s">
        <v>42</v>
      </c>
      <c r="E11" s="11">
        <f>E3/E10</f>
        <v>3.2057067893773397E-2</v>
      </c>
      <c r="F11" s="30"/>
      <c r="G11" s="31"/>
      <c r="H11" s="31"/>
      <c r="I11" s="31"/>
      <c r="J11" s="33"/>
    </row>
    <row r="12" spans="2:17" ht="20.25">
      <c r="B12" s="2" t="s">
        <v>18</v>
      </c>
      <c r="C12" s="3" t="s">
        <v>19</v>
      </c>
      <c r="D12" s="16" t="s">
        <v>42</v>
      </c>
      <c r="E12" s="12">
        <f>(E6*0.001)/E10</f>
        <v>1.9234240736264039E-5</v>
      </c>
      <c r="F12" s="30"/>
      <c r="G12" s="31"/>
      <c r="H12" s="31"/>
      <c r="I12" s="31"/>
      <c r="J12" s="33"/>
    </row>
    <row r="13" spans="2:17">
      <c r="B13" s="2" t="s">
        <v>21</v>
      </c>
      <c r="C13" s="3" t="s">
        <v>22</v>
      </c>
      <c r="D13" s="16" t="s">
        <v>42</v>
      </c>
      <c r="E13" s="13">
        <f>E11*E5^0.27*E12^(-0.67)</f>
        <v>24.865289229750026</v>
      </c>
      <c r="F13" s="30" t="s">
        <v>37</v>
      </c>
      <c r="G13" s="31"/>
      <c r="H13" s="31"/>
      <c r="I13" s="31"/>
      <c r="J13" s="33"/>
    </row>
    <row r="16" spans="2:17">
      <c r="B16" s="46" t="s">
        <v>86</v>
      </c>
      <c r="C16" t="s">
        <v>68</v>
      </c>
    </row>
    <row r="17" spans="2:22" ht="20.25">
      <c r="C17" s="3" t="s">
        <v>34</v>
      </c>
      <c r="D17" s="22">
        <v>5</v>
      </c>
      <c r="E17" s="22">
        <v>4</v>
      </c>
      <c r="F17" s="22">
        <v>3.7</v>
      </c>
      <c r="G17" s="22">
        <v>3.6</v>
      </c>
      <c r="H17" s="22">
        <v>3</v>
      </c>
    </row>
    <row r="18" spans="2:22">
      <c r="C18" s="3" t="s">
        <v>22</v>
      </c>
      <c r="D18" s="9" cm="1">
        <f t="array" ref="D18">Cs_parameter($E$6,D17,$E$4,$E$5)</f>
        <v>24.865289229750026</v>
      </c>
      <c r="E18" s="9" cm="1">
        <f t="array" ref="E18">Cs_parameter($E$6,E17,$E$4,$E$5)</f>
        <v>19.89223138380002</v>
      </c>
      <c r="F18" s="9" cm="1">
        <f t="array" ref="F18">Cs_parameter($E$6,F17,$E$4,$E$5)</f>
        <v>18.400314030015018</v>
      </c>
      <c r="G18" s="9" cm="1">
        <f t="array" ref="G18">Cs_parameter($E$6,G17,$E$4,$E$5)</f>
        <v>17.903008245420018</v>
      </c>
      <c r="H18" s="9" cm="1">
        <f t="array" ref="H18">Cs_parameter($E$6,H17,$E$4,$E$5)</f>
        <v>14.919173537850012</v>
      </c>
    </row>
    <row r="20" spans="2:22">
      <c r="C20" t="s">
        <v>62</v>
      </c>
      <c r="E20" s="40" cm="1">
        <f t="array" ref="E20">Cs_to_WaveHeight(18,E6,E4,E5)</f>
        <v>3.6195034438738674</v>
      </c>
      <c r="G20" t="s">
        <v>76</v>
      </c>
      <c r="H20" t="s">
        <v>77</v>
      </c>
    </row>
    <row r="23" spans="2:22">
      <c r="B23" s="46" t="s">
        <v>86</v>
      </c>
      <c r="C23" t="s">
        <v>69</v>
      </c>
    </row>
    <row r="24" spans="2:22">
      <c r="C24" s="3" t="s">
        <v>35</v>
      </c>
      <c r="D24" s="22">
        <v>3</v>
      </c>
      <c r="E24" s="22">
        <v>4</v>
      </c>
      <c r="F24" s="22">
        <v>4.8</v>
      </c>
      <c r="G24" s="22">
        <v>4.9000000000000004</v>
      </c>
      <c r="H24" s="22">
        <v>5</v>
      </c>
    </row>
    <row r="25" spans="2:22">
      <c r="C25" s="3" t="s">
        <v>22</v>
      </c>
      <c r="D25" s="9" cm="1">
        <f t="array" ref="D25">Cs_parameter(D24,$E$3,$E$4,$E$5)</f>
        <v>24.865289229750026</v>
      </c>
      <c r="E25" s="9" cm="1">
        <f t="array" ref="E25">Cs_parameter(E24,$E$3,$E$4,$E$5)</f>
        <v>20.506170391444908</v>
      </c>
      <c r="F25" s="9" cm="1">
        <f t="array" ref="F25">Cs_parameter(F24,$E$3,$E$4,$E$5)</f>
        <v>18.14818203815652</v>
      </c>
      <c r="G25" s="9" cm="1">
        <f t="array" ref="G25">Cs_parameter(G24,$E$3,$E$4,$E$5)</f>
        <v>17.899190172820354</v>
      </c>
      <c r="H25" s="9" cm="1">
        <f t="array" ref="H25">Cs_parameter(H24,$E$3,$E$4,$E$5)</f>
        <v>17.658542421464503</v>
      </c>
    </row>
    <row r="26" spans="2:22">
      <c r="P26" t="s">
        <v>70</v>
      </c>
    </row>
    <row r="27" spans="2:22">
      <c r="C27" t="s">
        <v>61</v>
      </c>
      <c r="E27" s="40" cm="1">
        <f t="array" ref="E27">Cs_to_Grainsize_mm(18,E3,E4,E5)</f>
        <v>4.85909732949637</v>
      </c>
      <c r="G27" t="s">
        <v>78</v>
      </c>
      <c r="H27" t="s">
        <v>79</v>
      </c>
    </row>
    <row r="30" spans="2:22">
      <c r="B30" s="46" t="s">
        <v>86</v>
      </c>
      <c r="C30" t="s">
        <v>84</v>
      </c>
      <c r="I30" s="43"/>
    </row>
    <row r="31" spans="2:22">
      <c r="C31" t="s">
        <v>87</v>
      </c>
      <c r="D31" s="45" t="s">
        <v>64</v>
      </c>
      <c r="E31" s="45" t="s">
        <v>65</v>
      </c>
      <c r="F31" s="45" t="s">
        <v>66</v>
      </c>
      <c r="G31" s="45" t="s">
        <v>67</v>
      </c>
      <c r="H31" s="45" t="s">
        <v>80</v>
      </c>
      <c r="P31" t="s">
        <v>88</v>
      </c>
    </row>
    <row r="32" spans="2:22">
      <c r="C32" s="3" t="s">
        <v>63</v>
      </c>
      <c r="D32" s="41">
        <v>0.1</v>
      </c>
      <c r="E32" s="41">
        <v>0.05</v>
      </c>
      <c r="F32" s="41">
        <v>0.04</v>
      </c>
      <c r="G32" s="44">
        <f>1/30</f>
        <v>3.3333333333333333E-2</v>
      </c>
      <c r="H32" s="44">
        <f>0.03</f>
        <v>0.03</v>
      </c>
      <c r="Q32" s="34" t="s">
        <v>44</v>
      </c>
      <c r="R32" s="35"/>
      <c r="S32" s="36" t="s">
        <v>45</v>
      </c>
      <c r="T32" s="37"/>
      <c r="U32" s="36" t="s">
        <v>46</v>
      </c>
      <c r="V32" s="36"/>
    </row>
    <row r="33" spans="3:23">
      <c r="C33" s="3" t="s">
        <v>22</v>
      </c>
      <c r="D33" s="9" cm="1">
        <f t="array" ref="D33">Cs_parameter($E$6,$E$3,$E$4,D32)</f>
        <v>24.865289229750026</v>
      </c>
      <c r="E33" s="9" cm="1">
        <f t="array" ref="E33">Cs_parameter($E$6,$E$3,$E$4,E32)</f>
        <v>20.621270370561021</v>
      </c>
      <c r="F33" s="9" cm="1">
        <f t="array" ref="F33">Cs_parameter($E$6,$E$3,$E$4,F32)</f>
        <v>19.41555068151618</v>
      </c>
      <c r="G33" s="9" cm="1">
        <f t="array" ref="G33">Cs_parameter($E$6,$E$3,$E$4,G32)</f>
        <v>18.482928202203894</v>
      </c>
      <c r="H33" s="9" cm="1">
        <f t="array" ref="H33">Cs_parameter($E$6,$E$3,$E$4,H32)</f>
        <v>17.96454632423649</v>
      </c>
      <c r="Q33" s="36" t="s">
        <v>21</v>
      </c>
      <c r="R33" s="37"/>
      <c r="S33" s="38" t="s">
        <v>50</v>
      </c>
      <c r="T33" s="39"/>
      <c r="U33" s="38" t="s">
        <v>57</v>
      </c>
      <c r="V33" s="38"/>
      <c r="W33" t="s">
        <v>71</v>
      </c>
    </row>
    <row r="34" spans="3:23">
      <c r="Q34" s="36" t="s">
        <v>51</v>
      </c>
      <c r="R34" s="37"/>
      <c r="S34" s="38" t="s">
        <v>54</v>
      </c>
      <c r="T34" s="39"/>
      <c r="U34" s="38" t="s">
        <v>58</v>
      </c>
      <c r="V34" s="38"/>
      <c r="W34" t="s">
        <v>72</v>
      </c>
    </row>
    <row r="35" spans="3:23">
      <c r="C35" t="s">
        <v>75</v>
      </c>
      <c r="E35" cm="1">
        <f t="array" ref="E35">Cs_to_Slope(18,E6,E3,E4)</f>
        <v>3.0219867442280113E-2</v>
      </c>
      <c r="F35" s="46"/>
      <c r="G35" t="s">
        <v>81</v>
      </c>
      <c r="H35" t="s">
        <v>82</v>
      </c>
      <c r="Q35" s="36" t="s">
        <v>52</v>
      </c>
      <c r="R35" s="37"/>
      <c r="S35" s="38" t="s">
        <v>55</v>
      </c>
      <c r="T35" s="39"/>
      <c r="U35" s="38" t="s">
        <v>59</v>
      </c>
      <c r="V35" s="38"/>
      <c r="W35" t="s">
        <v>73</v>
      </c>
    </row>
    <row r="36" spans="3:23">
      <c r="G36" s="42" t="s">
        <v>83</v>
      </c>
      <c r="Q36" s="36" t="s">
        <v>53</v>
      </c>
      <c r="R36" s="37"/>
      <c r="S36" s="38" t="s">
        <v>56</v>
      </c>
      <c r="T36" s="39"/>
      <c r="U36" s="38" t="s">
        <v>60</v>
      </c>
      <c r="V36" s="38"/>
      <c r="W36" t="s">
        <v>74</v>
      </c>
    </row>
    <row r="38" spans="3:23">
      <c r="P38" t="s">
        <v>47</v>
      </c>
    </row>
    <row r="39" spans="3:23">
      <c r="P39" t="s">
        <v>48</v>
      </c>
    </row>
    <row r="40" spans="3:23">
      <c r="P40" t="s">
        <v>49</v>
      </c>
    </row>
  </sheetData>
  <phoneticPr fontId="4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汀線の前進・後退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2024-12-24T11:15:46Z</dcterms:modified>
</cp:coreProperties>
</file>